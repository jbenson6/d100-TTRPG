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Stats" sheetId="2" r:id="rId6"/>
  </sheets>
  <definedNames/>
  <calcPr/>
</workbook>
</file>

<file path=xl/sharedStrings.xml><?xml version="1.0" encoding="utf-8"?>
<sst xmlns="http://schemas.openxmlformats.org/spreadsheetml/2006/main" count="297" uniqueCount="124">
  <si>
    <t>Race / Characteristic</t>
  </si>
  <si>
    <t>Race / Location</t>
  </si>
  <si>
    <t>Wounds</t>
  </si>
  <si>
    <t>Drevniylas</t>
  </si>
  <si>
    <t>MSK</t>
  </si>
  <si>
    <t>Eikenberg</t>
  </si>
  <si>
    <t>Emoshima</t>
  </si>
  <si>
    <t>RSK</t>
  </si>
  <si>
    <t>Fukushi</t>
  </si>
  <si>
    <t>STR</t>
  </si>
  <si>
    <t>Phi Zhang Empire (South)</t>
  </si>
  <si>
    <t>AGI</t>
  </si>
  <si>
    <t>Takada Clan (North)</t>
  </si>
  <si>
    <t>CON</t>
  </si>
  <si>
    <t>Kingdoms of Man</t>
  </si>
  <si>
    <t>INT</t>
  </si>
  <si>
    <t>Kingdom of Alrumoor</t>
  </si>
  <si>
    <t>Kingdom of Arathea</t>
  </si>
  <si>
    <t>PER</t>
  </si>
  <si>
    <t>Duchy of Bellerophon</t>
  </si>
  <si>
    <t>WPR</t>
  </si>
  <si>
    <t>Kingdom of Hillsborough</t>
  </si>
  <si>
    <t>Kingdom of Kheer Tal</t>
  </si>
  <si>
    <t>CHA</t>
  </si>
  <si>
    <t>Princedom of Leriot</t>
  </si>
  <si>
    <t>Kingdom of Pheznia</t>
  </si>
  <si>
    <t>Total</t>
  </si>
  <si>
    <t>Kingdom of Venetia</t>
  </si>
  <si>
    <t>Low</t>
  </si>
  <si>
    <t>Kingdom of Weizland</t>
  </si>
  <si>
    <t>High</t>
  </si>
  <si>
    <t>Ruhayaat</t>
  </si>
  <si>
    <t>Scaldlands</t>
  </si>
  <si>
    <t>Mean</t>
  </si>
  <si>
    <t>Seas</t>
  </si>
  <si>
    <t>Atlantean Sea</t>
  </si>
  <si>
    <t>Aasimar</t>
  </si>
  <si>
    <t>Sundering Sea</t>
  </si>
  <si>
    <t>Shirvan</t>
  </si>
  <si>
    <t>Karetis (Western)</t>
  </si>
  <si>
    <t>Minoa (Eastern)</t>
  </si>
  <si>
    <t>Veltaz (Southern)</t>
  </si>
  <si>
    <t>Tropical Isles</t>
  </si>
  <si>
    <t>Utgard Mountains</t>
  </si>
  <si>
    <t>Cedarkulle (East)</t>
  </si>
  <si>
    <t>Jotunheim (West)</t>
  </si>
  <si>
    <t>Orkmaa (Central)</t>
  </si>
  <si>
    <t>Wildlands</t>
  </si>
  <si>
    <t>Lichdom of Raphael</t>
  </si>
  <si>
    <t>Lydia</t>
  </si>
  <si>
    <t>The Free Cities</t>
  </si>
  <si>
    <t>Y</t>
  </si>
  <si>
    <t xml:space="preserve">  </t>
  </si>
  <si>
    <t>Anurans</t>
  </si>
  <si>
    <t>Anuran - Dart</t>
  </si>
  <si>
    <t>Bear</t>
  </si>
  <si>
    <t>Anuran - Toad</t>
  </si>
  <si>
    <t>Faun</t>
  </si>
  <si>
    <t>Beastmen - Bear</t>
  </si>
  <si>
    <t>Hare</t>
  </si>
  <si>
    <t>Shark</t>
  </si>
  <si>
    <t>Beastmen - Faun</t>
  </si>
  <si>
    <t>Catfolk</t>
  </si>
  <si>
    <t>Beastmen - Hare</t>
  </si>
  <si>
    <t>Dhampir</t>
  </si>
  <si>
    <t>Beastmen - Shark</t>
  </si>
  <si>
    <t>Djinn</t>
  </si>
  <si>
    <t>Moon Elf</t>
  </si>
  <si>
    <t>Elf - Moon Elf</t>
  </si>
  <si>
    <t>Elf - Sun Elf</t>
  </si>
  <si>
    <t>Sun Elf</t>
  </si>
  <si>
    <t>Melondi</t>
  </si>
  <si>
    <t>Elf - Melondi</t>
  </si>
  <si>
    <t>Gnoll</t>
  </si>
  <si>
    <t>Goblin</t>
  </si>
  <si>
    <t>Mithranite</t>
  </si>
  <si>
    <t>Human - Mithranite</t>
  </si>
  <si>
    <t>Nubian</t>
  </si>
  <si>
    <t>Human - Nubian</t>
  </si>
  <si>
    <t>Oriental</t>
  </si>
  <si>
    <t>Human - Oriental</t>
  </si>
  <si>
    <t>Thessian</t>
  </si>
  <si>
    <t>Human - Thessian</t>
  </si>
  <si>
    <t>Zymen</t>
  </si>
  <si>
    <t>Human - Zymen</t>
  </si>
  <si>
    <t>Ifrit</t>
  </si>
  <si>
    <t>Kitsune</t>
  </si>
  <si>
    <t>Kobold</t>
  </si>
  <si>
    <t>Merfolk - Atlanteans</t>
  </si>
  <si>
    <t>Atlanteans</t>
  </si>
  <si>
    <t>Merfolk - Merrow</t>
  </si>
  <si>
    <t>Merrow</t>
  </si>
  <si>
    <t>Monitori</t>
  </si>
  <si>
    <t>Orc</t>
  </si>
  <si>
    <t>Sylph</t>
  </si>
  <si>
    <t>Supernal - Raptor</t>
  </si>
  <si>
    <t>Bull</t>
  </si>
  <si>
    <t>Supernal - Scavenger</t>
  </si>
  <si>
    <t>Cow</t>
  </si>
  <si>
    <t>Supernal - Tengu</t>
  </si>
  <si>
    <t>Varruck</t>
  </si>
  <si>
    <t>Raptor</t>
  </si>
  <si>
    <t>Taurus - Cow</t>
  </si>
  <si>
    <t>Scavenger</t>
  </si>
  <si>
    <t>Tengu</t>
  </si>
  <si>
    <t>Werewolf</t>
  </si>
  <si>
    <t>Taurus - Bull</t>
  </si>
  <si>
    <t>Drake</t>
  </si>
  <si>
    <t>Dryad</t>
  </si>
  <si>
    <t>Fey - Dryad</t>
  </si>
  <si>
    <t>Fey - Gnome</t>
  </si>
  <si>
    <t>Fey - Nymph</t>
  </si>
  <si>
    <t>Hornet</t>
  </si>
  <si>
    <t>Gnome</t>
  </si>
  <si>
    <t>Jotun</t>
  </si>
  <si>
    <t>Nymph</t>
  </si>
  <si>
    <t>Lamia</t>
  </si>
  <si>
    <t>Pixie</t>
  </si>
  <si>
    <t>Nectarine</t>
  </si>
  <si>
    <t>Angel</t>
  </si>
  <si>
    <t>Cyclops</t>
  </si>
  <si>
    <t>Oni</t>
  </si>
  <si>
    <t>Succubus</t>
  </si>
  <si>
    <t>Sphinx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</si>
</sst>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readingOrder="0" vertical="bottom"/>
    </xf>
    <xf borderId="0" fillId="3" fontId="1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vertical="bottom"/>
    </xf>
    <xf borderId="0" fillId="3" fontId="1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readingOrder="0" vertical="bottom"/>
    </xf>
    <xf borderId="0" fillId="4" fontId="4" numFmtId="0" xfId="0" applyAlignment="1" applyFont="1">
      <alignment horizontal="center" readingOrder="0" shrinkToFit="0" wrapText="1"/>
    </xf>
    <xf borderId="1" fillId="4" fontId="4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 shrinkToFit="0" vertical="center" wrapText="1"/>
    </xf>
    <xf borderId="0" fillId="4" fontId="3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wrapText="1"/>
    </xf>
    <xf borderId="1" fillId="5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ustomWidth="1" min="2" max="4" width="7.63"/>
    <col collapsed="1" customWidth="1" min="5" max="5" width="7.63"/>
    <col customWidth="1" hidden="1" min="6" max="7" width="7.63" outlineLevel="1"/>
    <col collapsed="1" customWidth="1" min="8" max="8" width="7.63"/>
    <col customWidth="1" hidden="1" min="9" max="17" width="7.63" outlineLevel="1"/>
    <col customWidth="1" min="18" max="19" width="7.63"/>
    <col collapsed="1" customWidth="1" min="20" max="20" width="7.63"/>
    <col customWidth="1" hidden="1" min="21" max="22" width="7.63" outlineLevel="1"/>
    <col collapsed="1" customWidth="1" min="23" max="23" width="7.63"/>
    <col customWidth="1" hidden="1" min="24" max="26" width="7.63" outlineLevel="1"/>
    <col customWidth="1" min="27" max="28" width="7.63"/>
    <col customWidth="1" min="29" max="31" width="7.63" outlineLevel="1"/>
    <col customWidth="1" min="32" max="32" width="7.63"/>
    <col customWidth="1" min="33" max="35" width="7.63" outlineLevel="1"/>
  </cols>
  <sheetData>
    <row r="1">
      <c r="A1" s="2" t="s">
        <v>1</v>
      </c>
      <c r="B1" s="4" t="s">
        <v>3</v>
      </c>
      <c r="C1" s="4" t="s">
        <v>5</v>
      </c>
      <c r="D1" s="4" t="s">
        <v>6</v>
      </c>
      <c r="E1" s="4" t="s">
        <v>8</v>
      </c>
      <c r="F1" s="4" t="s">
        <v>10</v>
      </c>
      <c r="G1" s="4" t="s">
        <v>12</v>
      </c>
      <c r="H1" s="4" t="s">
        <v>14</v>
      </c>
      <c r="I1" s="4" t="s">
        <v>16</v>
      </c>
      <c r="J1" s="4" t="s">
        <v>17</v>
      </c>
      <c r="K1" s="4" t="s">
        <v>19</v>
      </c>
      <c r="L1" s="4" t="s">
        <v>21</v>
      </c>
      <c r="M1" s="4" t="s">
        <v>22</v>
      </c>
      <c r="N1" s="4" t="s">
        <v>24</v>
      </c>
      <c r="O1" s="4" t="s">
        <v>25</v>
      </c>
      <c r="P1" s="4" t="s">
        <v>27</v>
      </c>
      <c r="Q1" s="4" t="s">
        <v>29</v>
      </c>
      <c r="R1" s="4" t="s">
        <v>31</v>
      </c>
      <c r="S1" s="4" t="s">
        <v>32</v>
      </c>
      <c r="T1" s="4" t="s">
        <v>34</v>
      </c>
      <c r="U1" s="4" t="s">
        <v>35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</row>
    <row r="2">
      <c r="A2" s="8" t="s">
        <v>36</v>
      </c>
      <c r="B2" s="9"/>
      <c r="C2" s="9"/>
      <c r="D2" s="9"/>
      <c r="E2" s="9"/>
      <c r="F2" s="9"/>
      <c r="G2" s="9"/>
      <c r="H2" s="3" t="s">
        <v>51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3" t="s">
        <v>52</v>
      </c>
      <c r="AE2" s="9"/>
      <c r="AF2" s="9"/>
      <c r="AG2" s="9"/>
      <c r="AH2" s="9"/>
      <c r="AI2" s="9"/>
    </row>
    <row r="3">
      <c r="A3" s="10" t="s">
        <v>53</v>
      </c>
      <c r="B3" s="9"/>
      <c r="C3" s="9"/>
      <c r="D3" s="9"/>
      <c r="E3" s="9"/>
      <c r="F3" s="9"/>
      <c r="G3" s="9"/>
      <c r="H3" s="3"/>
      <c r="I3" s="9"/>
      <c r="J3" s="9"/>
      <c r="K3" s="9"/>
      <c r="L3" s="9"/>
      <c r="M3" s="9"/>
      <c r="N3" s="9"/>
      <c r="O3" s="9"/>
      <c r="P3" s="9"/>
      <c r="Q3" s="9"/>
      <c r="R3" s="9"/>
      <c r="S3" s="3" t="s">
        <v>51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>
      <c r="A4" s="8" t="s">
        <v>55</v>
      </c>
      <c r="B4" s="9"/>
      <c r="C4" s="3"/>
      <c r="D4" s="9"/>
      <c r="E4" s="3" t="s">
        <v>51</v>
      </c>
      <c r="F4" s="3"/>
      <c r="G4" s="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>
      <c r="A5" s="8" t="s">
        <v>57</v>
      </c>
      <c r="B5" s="3" t="s">
        <v>51</v>
      </c>
      <c r="C5" s="3" t="s">
        <v>51</v>
      </c>
      <c r="D5" s="9"/>
      <c r="E5" s="9"/>
      <c r="F5" s="9"/>
      <c r="G5" s="9"/>
      <c r="H5" s="3" t="s">
        <v>51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3" t="s">
        <v>51</v>
      </c>
      <c r="X5" s="9"/>
      <c r="Y5" s="9"/>
      <c r="Z5" s="9"/>
      <c r="AA5" s="9"/>
      <c r="AB5" s="9"/>
      <c r="AC5" s="9"/>
      <c r="AD5" s="9"/>
      <c r="AE5" s="9"/>
      <c r="AF5" s="3" t="s">
        <v>51</v>
      </c>
      <c r="AG5" s="9"/>
      <c r="AH5" s="9"/>
      <c r="AI5" s="9"/>
    </row>
    <row r="6">
      <c r="A6" s="8" t="s">
        <v>59</v>
      </c>
      <c r="B6" s="3" t="s">
        <v>51</v>
      </c>
      <c r="C6" s="3" t="s">
        <v>51</v>
      </c>
      <c r="D6" s="9"/>
      <c r="E6" s="9"/>
      <c r="F6" s="9"/>
      <c r="G6" s="9"/>
      <c r="H6" s="3" t="s">
        <v>51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3" t="s">
        <v>51</v>
      </c>
      <c r="X6" s="9"/>
      <c r="Y6" s="9"/>
      <c r="Z6" s="9"/>
      <c r="AA6" s="9"/>
      <c r="AB6" s="9"/>
      <c r="AC6" s="9"/>
      <c r="AD6" s="9"/>
      <c r="AE6" s="9"/>
      <c r="AF6" s="3" t="s">
        <v>51</v>
      </c>
      <c r="AG6" s="9"/>
      <c r="AH6" s="9"/>
      <c r="AI6" s="9"/>
    </row>
    <row r="7">
      <c r="A7" s="8" t="s">
        <v>60</v>
      </c>
      <c r="B7" s="9"/>
      <c r="C7" s="9"/>
      <c r="D7" s="9"/>
      <c r="E7" s="3" t="s">
        <v>51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3" t="s">
        <v>51</v>
      </c>
      <c r="U7" s="3" t="s">
        <v>51</v>
      </c>
      <c r="V7" s="3" t="s">
        <v>51</v>
      </c>
      <c r="W7" s="3" t="s">
        <v>51</v>
      </c>
      <c r="X7" s="9"/>
      <c r="Y7" s="9"/>
      <c r="Z7" s="9"/>
      <c r="AA7" s="9"/>
      <c r="AB7" s="9"/>
      <c r="AC7" s="9"/>
      <c r="AD7" s="9"/>
      <c r="AE7" s="9"/>
      <c r="AF7" s="3" t="s">
        <v>51</v>
      </c>
      <c r="AG7" s="9"/>
      <c r="AH7" s="9"/>
      <c r="AI7" s="9"/>
    </row>
    <row r="8">
      <c r="A8" s="8" t="s">
        <v>62</v>
      </c>
      <c r="B8" s="9"/>
      <c r="C8" s="9"/>
      <c r="D8" s="9"/>
      <c r="E8" s="9"/>
      <c r="F8" s="9"/>
      <c r="G8" s="9"/>
      <c r="H8" s="3" t="s">
        <v>51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3" t="s">
        <v>51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>
      <c r="A9" s="8" t="s">
        <v>64</v>
      </c>
      <c r="B9" s="9"/>
      <c r="C9" s="9"/>
      <c r="D9" s="9"/>
      <c r="E9" s="3" t="s">
        <v>51</v>
      </c>
      <c r="F9" s="3"/>
      <c r="G9" s="3"/>
      <c r="H9" s="3" t="s">
        <v>51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3" t="s">
        <v>51</v>
      </c>
      <c r="AG9" s="9"/>
      <c r="AH9" s="9"/>
      <c r="AI9" s="9"/>
    </row>
    <row r="10">
      <c r="A10" s="8" t="s">
        <v>66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3" t="s">
        <v>51</v>
      </c>
      <c r="S10" s="9"/>
      <c r="T10" s="9"/>
      <c r="U10" s="9"/>
      <c r="V10" s="9"/>
      <c r="W10" s="3" t="s">
        <v>51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>
      <c r="A11" s="8" t="s">
        <v>67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3" t="s">
        <v>51</v>
      </c>
      <c r="X11" s="9"/>
      <c r="Y11" s="9"/>
      <c r="Z11" s="9"/>
      <c r="AA11" s="9"/>
      <c r="AB11" s="3" t="s">
        <v>51</v>
      </c>
      <c r="AC11" s="3"/>
      <c r="AD11" s="3"/>
      <c r="AE11" s="3"/>
      <c r="AF11" s="3" t="s">
        <v>51</v>
      </c>
      <c r="AG11" s="9"/>
      <c r="AH11" s="9"/>
      <c r="AI11" s="9"/>
    </row>
    <row r="12">
      <c r="A12" s="8" t="s">
        <v>70</v>
      </c>
      <c r="B12" s="3" t="s">
        <v>51</v>
      </c>
      <c r="C12" s="3" t="s">
        <v>51</v>
      </c>
      <c r="D12" s="9"/>
      <c r="E12" s="9"/>
      <c r="F12" s="9"/>
      <c r="G12" s="9"/>
      <c r="H12" s="3" t="s">
        <v>51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3" t="s">
        <v>51</v>
      </c>
      <c r="X12" s="9"/>
      <c r="Y12" s="9"/>
      <c r="Z12" s="9"/>
      <c r="AA12" s="9"/>
      <c r="AB12" s="9"/>
      <c r="AC12" s="9"/>
      <c r="AD12" s="9"/>
      <c r="AE12" s="9"/>
      <c r="AF12" s="3" t="s">
        <v>51</v>
      </c>
      <c r="AG12" s="9"/>
      <c r="AH12" s="9"/>
      <c r="AI12" s="9"/>
    </row>
    <row r="13">
      <c r="A13" s="8" t="s">
        <v>71</v>
      </c>
      <c r="B13" s="9"/>
      <c r="C13" s="9"/>
      <c r="D13" s="9"/>
      <c r="E13" s="9"/>
      <c r="F13" s="9"/>
      <c r="G13" s="9"/>
      <c r="H13" s="3" t="s">
        <v>51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3" t="s">
        <v>51</v>
      </c>
      <c r="X13" s="9"/>
      <c r="Y13" s="9"/>
      <c r="Z13" s="9"/>
      <c r="AA13" s="9"/>
      <c r="AB13" s="9"/>
      <c r="AC13" s="9"/>
      <c r="AD13" s="9"/>
      <c r="AE13" s="9"/>
      <c r="AF13" s="3" t="s">
        <v>51</v>
      </c>
      <c r="AG13" s="9"/>
      <c r="AH13" s="9"/>
      <c r="AI13" s="9"/>
    </row>
    <row r="14">
      <c r="A14" s="8" t="s">
        <v>73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3" t="s">
        <v>51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>
      <c r="A15" s="8" t="s">
        <v>74</v>
      </c>
      <c r="B15" s="9"/>
      <c r="C15" s="9"/>
      <c r="D15" s="3" t="s">
        <v>51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3" t="s">
        <v>51</v>
      </c>
      <c r="T15" s="9"/>
      <c r="U15" s="9"/>
      <c r="V15" s="9"/>
      <c r="W15" s="9"/>
      <c r="X15" s="9"/>
      <c r="Y15" s="9"/>
      <c r="Z15" s="9"/>
      <c r="AA15" s="9"/>
      <c r="AB15" s="3" t="s">
        <v>51</v>
      </c>
      <c r="AC15" s="3"/>
      <c r="AD15" s="3"/>
      <c r="AE15" s="3"/>
      <c r="AF15" s="9"/>
      <c r="AG15" s="9"/>
      <c r="AH15" s="9"/>
      <c r="AI15" s="9"/>
    </row>
    <row r="16">
      <c r="A16" s="8" t="s">
        <v>75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3" t="s">
        <v>51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>
      <c r="A17" s="8" t="s">
        <v>77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3" t="s">
        <v>51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8" t="s">
        <v>79</v>
      </c>
      <c r="B18" s="9"/>
      <c r="C18" s="9"/>
      <c r="D18" s="9"/>
      <c r="E18" s="3" t="s">
        <v>51</v>
      </c>
      <c r="F18" s="3"/>
      <c r="G18" s="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>
      <c r="A19" s="8" t="s">
        <v>81</v>
      </c>
      <c r="B19" s="9"/>
      <c r="C19" s="9"/>
      <c r="D19" s="9"/>
      <c r="E19" s="9"/>
      <c r="F19" s="9"/>
      <c r="G19" s="9"/>
      <c r="H19" s="3" t="s">
        <v>51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3" t="s">
        <v>51</v>
      </c>
      <c r="AG19" s="9"/>
      <c r="AH19" s="9"/>
      <c r="AI19" s="9"/>
    </row>
    <row r="20">
      <c r="A20" s="8" t="s">
        <v>83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3" t="s">
        <v>51</v>
      </c>
      <c r="AB20" s="9"/>
      <c r="AC20" s="9"/>
      <c r="AD20" s="9"/>
      <c r="AE20" s="9"/>
      <c r="AF20" s="9"/>
      <c r="AG20" s="9"/>
      <c r="AH20" s="9"/>
      <c r="AI20" s="9"/>
    </row>
    <row r="21">
      <c r="A21" s="8" t="s">
        <v>85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3" t="s">
        <v>51</v>
      </c>
      <c r="S21" s="9"/>
      <c r="T21" s="9"/>
      <c r="U21" s="9"/>
      <c r="V21" s="9"/>
      <c r="W21" s="3" t="s">
        <v>51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8" t="s">
        <v>86</v>
      </c>
      <c r="B22" s="9"/>
      <c r="C22" s="9"/>
      <c r="D22" s="9"/>
      <c r="E22" s="3" t="s">
        <v>51</v>
      </c>
      <c r="F22" s="3"/>
      <c r="G22" s="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>
      <c r="A23" s="8" t="s">
        <v>87</v>
      </c>
      <c r="B23" s="9"/>
      <c r="C23" s="3" t="s">
        <v>51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3" t="s">
        <v>51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>
      <c r="A24" s="10" t="s">
        <v>89</v>
      </c>
      <c r="B24" s="9"/>
      <c r="C24" s="9"/>
      <c r="D24" s="9"/>
      <c r="E24" s="9"/>
      <c r="F24" s="9"/>
      <c r="G24" s="9"/>
      <c r="H24" s="3" t="s">
        <v>51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3" t="s">
        <v>51</v>
      </c>
      <c r="T24" s="3" t="s">
        <v>51</v>
      </c>
      <c r="U24" s="3" t="s">
        <v>51</v>
      </c>
      <c r="V24" s="3"/>
      <c r="W24" s="3" t="s">
        <v>51</v>
      </c>
      <c r="X24" s="9"/>
      <c r="Y24" s="9"/>
      <c r="Z24" s="9"/>
      <c r="AA24" s="3" t="s">
        <v>51</v>
      </c>
      <c r="AB24" s="9"/>
      <c r="AC24" s="9"/>
      <c r="AD24" s="9"/>
      <c r="AE24" s="9"/>
      <c r="AF24" s="3" t="s">
        <v>51</v>
      </c>
      <c r="AG24" s="9"/>
      <c r="AH24" s="9"/>
      <c r="AI24" s="9"/>
    </row>
    <row r="25">
      <c r="A25" s="10" t="s">
        <v>91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3" t="s">
        <v>51</v>
      </c>
      <c r="U25" s="9"/>
      <c r="V25" s="3" t="s">
        <v>51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>
      <c r="A26" s="8" t="s">
        <v>92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3"/>
      <c r="U26" s="3"/>
      <c r="V26" s="3"/>
      <c r="W26" s="3" t="s">
        <v>51</v>
      </c>
      <c r="X26" s="9"/>
      <c r="Y26" s="9"/>
      <c r="Z26" s="9"/>
      <c r="AA26" s="3" t="s">
        <v>51</v>
      </c>
      <c r="AB26" s="9"/>
      <c r="AC26" s="9"/>
      <c r="AD26" s="9"/>
      <c r="AE26" s="9"/>
      <c r="AF26" s="3" t="s">
        <v>51</v>
      </c>
      <c r="AG26" s="9"/>
      <c r="AH26" s="9"/>
      <c r="AI26" s="9"/>
    </row>
    <row r="27">
      <c r="A27" s="8" t="s">
        <v>93</v>
      </c>
      <c r="B27" s="9"/>
      <c r="C27" s="9"/>
      <c r="D27" s="3" t="s">
        <v>51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3" t="s">
        <v>51</v>
      </c>
      <c r="T27" s="9"/>
      <c r="U27" s="9"/>
      <c r="V27" s="9"/>
      <c r="W27" s="3" t="s">
        <v>51</v>
      </c>
      <c r="X27" s="9"/>
      <c r="Y27" s="9"/>
      <c r="Z27" s="9"/>
      <c r="AA27" s="9"/>
      <c r="AB27" s="3" t="s">
        <v>51</v>
      </c>
      <c r="AC27" s="3"/>
      <c r="AD27" s="3"/>
      <c r="AE27" s="3"/>
      <c r="AF27" s="3" t="s">
        <v>51</v>
      </c>
      <c r="AG27" s="9"/>
      <c r="AH27" s="9"/>
      <c r="AI27" s="9"/>
    </row>
    <row r="28">
      <c r="A28" s="8" t="s">
        <v>94</v>
      </c>
      <c r="B28" s="9"/>
      <c r="C28" s="9"/>
      <c r="D28" s="9"/>
      <c r="E28" s="9"/>
      <c r="F28" s="9"/>
      <c r="G28" s="9"/>
      <c r="H28" s="3" t="s">
        <v>51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3"/>
      <c r="U28" s="3"/>
      <c r="V28" s="3"/>
      <c r="W28" s="3" t="s">
        <v>51</v>
      </c>
      <c r="X28" s="9"/>
      <c r="Y28" s="9"/>
      <c r="Z28" s="9"/>
      <c r="AA28" s="3" t="s">
        <v>51</v>
      </c>
      <c r="AB28" s="9"/>
      <c r="AC28" s="9"/>
      <c r="AD28" s="9"/>
      <c r="AE28" s="9"/>
      <c r="AF28" s="3" t="s">
        <v>51</v>
      </c>
      <c r="AG28" s="9"/>
      <c r="AH28" s="9"/>
      <c r="AI28" s="9"/>
    </row>
    <row r="29">
      <c r="A29" s="8" t="s">
        <v>96</v>
      </c>
      <c r="B29" s="3" t="s">
        <v>51</v>
      </c>
      <c r="C29" s="9"/>
      <c r="D29" s="3" t="s">
        <v>51</v>
      </c>
      <c r="E29" s="9"/>
      <c r="F29" s="9"/>
      <c r="G29" s="9"/>
      <c r="H29" s="3" t="s">
        <v>51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3" t="s">
        <v>51</v>
      </c>
      <c r="X29" s="9"/>
      <c r="Y29" s="9"/>
      <c r="Z29" s="9"/>
      <c r="AA29" s="9"/>
      <c r="AB29" s="9"/>
      <c r="AC29" s="9"/>
      <c r="AD29" s="9"/>
      <c r="AE29" s="9"/>
      <c r="AF29" s="3" t="s">
        <v>51</v>
      </c>
      <c r="AG29" s="9"/>
      <c r="AH29" s="9"/>
      <c r="AI29" s="9"/>
    </row>
    <row r="30">
      <c r="A30" s="8" t="s">
        <v>98</v>
      </c>
      <c r="B30" s="3" t="s">
        <v>51</v>
      </c>
      <c r="C30" s="9"/>
      <c r="D30" s="3" t="s">
        <v>51</v>
      </c>
      <c r="E30" s="9"/>
      <c r="F30" s="9"/>
      <c r="G30" s="9"/>
      <c r="H30" s="3" t="s">
        <v>51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3" t="s">
        <v>51</v>
      </c>
      <c r="X30" s="9"/>
      <c r="Y30" s="9"/>
      <c r="Z30" s="9"/>
      <c r="AA30" s="9"/>
      <c r="AB30" s="9"/>
      <c r="AC30" s="9"/>
      <c r="AD30" s="9"/>
      <c r="AE30" s="9"/>
      <c r="AF30" s="3" t="s">
        <v>51</v>
      </c>
      <c r="AG30" s="9"/>
      <c r="AH30" s="9"/>
      <c r="AI30" s="9"/>
    </row>
    <row r="31">
      <c r="A31" s="8" t="s">
        <v>100</v>
      </c>
      <c r="B31" s="9"/>
      <c r="C31" s="9"/>
      <c r="D31" s="9"/>
      <c r="E31" s="3" t="s">
        <v>51</v>
      </c>
      <c r="F31" s="3"/>
      <c r="G31" s="3"/>
      <c r="H31" s="3" t="s">
        <v>51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3" t="s">
        <v>51</v>
      </c>
      <c r="X31" s="9"/>
      <c r="Y31" s="9"/>
      <c r="Z31" s="9"/>
      <c r="AA31" s="9"/>
      <c r="AB31" s="9"/>
      <c r="AC31" s="9"/>
      <c r="AD31" s="9"/>
      <c r="AE31" s="9"/>
      <c r="AF31" s="3" t="s">
        <v>51</v>
      </c>
      <c r="AG31" s="9"/>
      <c r="AH31" s="9"/>
      <c r="AI31" s="9"/>
    </row>
    <row r="32">
      <c r="A32" s="8" t="s">
        <v>101</v>
      </c>
      <c r="B32" s="9"/>
      <c r="C32" s="3" t="s">
        <v>51</v>
      </c>
      <c r="D32" s="9"/>
      <c r="E32" s="9"/>
      <c r="F32" s="9"/>
      <c r="G32" s="9"/>
      <c r="H32" s="3" t="s">
        <v>51</v>
      </c>
      <c r="I32" s="9"/>
      <c r="J32" s="9"/>
      <c r="K32" s="9"/>
      <c r="L32" s="9"/>
      <c r="M32" s="9"/>
      <c r="N32" s="9"/>
      <c r="O32" s="9"/>
      <c r="P32" s="9"/>
      <c r="Q32" s="9"/>
      <c r="R32" s="3" t="s">
        <v>51</v>
      </c>
      <c r="S32" s="9"/>
      <c r="T32" s="9"/>
      <c r="U32" s="9"/>
      <c r="V32" s="9"/>
      <c r="W32" s="3" t="s">
        <v>51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>
      <c r="A33" s="8" t="s">
        <v>103</v>
      </c>
      <c r="B33" s="9"/>
      <c r="C33" s="3" t="s">
        <v>51</v>
      </c>
      <c r="D33" s="9"/>
      <c r="E33" s="9"/>
      <c r="F33" s="9"/>
      <c r="G33" s="9"/>
      <c r="H33" s="3" t="s">
        <v>51</v>
      </c>
      <c r="I33" s="9"/>
      <c r="J33" s="9"/>
      <c r="K33" s="9"/>
      <c r="L33" s="9"/>
      <c r="M33" s="9"/>
      <c r="N33" s="9"/>
      <c r="O33" s="9"/>
      <c r="P33" s="9"/>
      <c r="Q33" s="9"/>
      <c r="R33" s="3" t="s">
        <v>51</v>
      </c>
      <c r="S33" s="9"/>
      <c r="T33" s="9"/>
      <c r="U33" s="9"/>
      <c r="V33" s="9"/>
      <c r="W33" s="3" t="s">
        <v>51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>
      <c r="A34" s="8" t="s">
        <v>104</v>
      </c>
      <c r="B34" s="9"/>
      <c r="C34" s="9"/>
      <c r="D34" s="9"/>
      <c r="E34" s="3" t="s">
        <v>51</v>
      </c>
      <c r="F34" s="3"/>
      <c r="G34" s="3"/>
      <c r="H34" s="9"/>
      <c r="I34" s="9"/>
      <c r="J34" s="9"/>
      <c r="K34" s="9"/>
      <c r="L34" s="9"/>
      <c r="M34" s="9"/>
      <c r="N34" s="9"/>
      <c r="O34" s="9"/>
      <c r="P34" s="9"/>
      <c r="Q34" s="9"/>
      <c r="R34" s="3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>
      <c r="A35" s="8" t="s">
        <v>105</v>
      </c>
      <c r="B35" s="9"/>
      <c r="C35" s="9"/>
      <c r="D35" s="9"/>
      <c r="E35" s="9"/>
      <c r="F35" s="9"/>
      <c r="G35" s="9"/>
      <c r="H35" s="3" t="s">
        <v>51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3" t="s">
        <v>51</v>
      </c>
      <c r="T35" s="9"/>
      <c r="U35" s="9"/>
      <c r="V35" s="9"/>
      <c r="W35" s="3" t="s">
        <v>51</v>
      </c>
      <c r="X35" s="9"/>
      <c r="Y35" s="9"/>
      <c r="Z35" s="9"/>
      <c r="AA35" s="9"/>
      <c r="AB35" s="9"/>
      <c r="AC35" s="9"/>
      <c r="AD35" s="9"/>
      <c r="AE35" s="9"/>
      <c r="AF35" s="3" t="s">
        <v>51</v>
      </c>
      <c r="AG35" s="9"/>
      <c r="AH35" s="3" t="s">
        <v>51</v>
      </c>
      <c r="AI35" s="9"/>
    </row>
    <row r="36">
      <c r="A36" s="8" t="s">
        <v>107</v>
      </c>
      <c r="B36" s="9"/>
      <c r="C36" s="9"/>
      <c r="D36" s="9"/>
      <c r="E36" s="9"/>
      <c r="F36" s="9"/>
      <c r="G36" s="9"/>
      <c r="H36" s="3" t="s">
        <v>51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3" t="s">
        <v>51</v>
      </c>
      <c r="X36" s="9"/>
      <c r="Y36" s="9"/>
      <c r="Z36" s="9"/>
      <c r="AA36" s="9"/>
      <c r="AB36" s="3" t="s">
        <v>51</v>
      </c>
      <c r="AC36" s="3"/>
      <c r="AD36" s="3"/>
      <c r="AE36" s="3"/>
      <c r="AF36" s="9"/>
      <c r="AG36" s="9"/>
      <c r="AH36" s="9"/>
      <c r="AI36" s="9"/>
    </row>
    <row r="37">
      <c r="A37" s="8" t="s">
        <v>108</v>
      </c>
      <c r="B37" s="3" t="s">
        <v>51</v>
      </c>
      <c r="C37" s="3" t="s">
        <v>51</v>
      </c>
      <c r="D37" s="9"/>
      <c r="E37" s="3" t="s">
        <v>51</v>
      </c>
      <c r="F37" s="3"/>
      <c r="G37" s="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3"/>
      <c r="U37" s="3"/>
      <c r="V37" s="3"/>
      <c r="W37" s="9"/>
      <c r="X37" s="9"/>
      <c r="Y37" s="9"/>
      <c r="Z37" s="9"/>
      <c r="AA37" s="3" t="s">
        <v>51</v>
      </c>
      <c r="AB37" s="9"/>
      <c r="AC37" s="9"/>
      <c r="AD37" s="9"/>
      <c r="AE37" s="9"/>
      <c r="AF37" s="9"/>
      <c r="AG37" s="9"/>
      <c r="AH37" s="9"/>
      <c r="AI37" s="9"/>
    </row>
    <row r="38">
      <c r="A38" s="8" t="s">
        <v>113</v>
      </c>
      <c r="B38" s="3" t="s">
        <v>51</v>
      </c>
      <c r="C38" s="3" t="s">
        <v>51</v>
      </c>
      <c r="D38" s="9"/>
      <c r="E38" s="3" t="s">
        <v>51</v>
      </c>
      <c r="F38" s="3"/>
      <c r="G38" s="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3"/>
      <c r="U38" s="3"/>
      <c r="V38" s="3"/>
      <c r="W38" s="9"/>
      <c r="X38" s="9"/>
      <c r="Y38" s="9"/>
      <c r="Z38" s="9"/>
      <c r="AA38" s="3" t="s">
        <v>51</v>
      </c>
      <c r="AB38" s="9"/>
      <c r="AC38" s="9"/>
      <c r="AD38" s="9"/>
      <c r="AE38" s="9"/>
      <c r="AF38" s="9"/>
      <c r="AG38" s="9"/>
      <c r="AH38" s="9"/>
      <c r="AI38" s="9"/>
    </row>
    <row r="39">
      <c r="A39" s="8" t="s">
        <v>115</v>
      </c>
      <c r="B39" s="3" t="s">
        <v>51</v>
      </c>
      <c r="C39" s="3" t="s">
        <v>51</v>
      </c>
      <c r="D39" s="9"/>
      <c r="E39" s="3" t="s">
        <v>51</v>
      </c>
      <c r="F39" s="3"/>
      <c r="G39" s="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3"/>
      <c r="U39" s="3"/>
      <c r="V39" s="3"/>
      <c r="W39" s="9"/>
      <c r="X39" s="9"/>
      <c r="Y39" s="9"/>
      <c r="Z39" s="9"/>
      <c r="AA39" s="3" t="s">
        <v>51</v>
      </c>
      <c r="AB39" s="9"/>
      <c r="AC39" s="9"/>
      <c r="AD39" s="9"/>
      <c r="AE39" s="9"/>
      <c r="AF39" s="9"/>
      <c r="AG39" s="9"/>
      <c r="AH39" s="9"/>
      <c r="AI39" s="9"/>
    </row>
    <row r="40">
      <c r="A40" s="10" t="s">
        <v>117</v>
      </c>
      <c r="B40" s="3" t="s">
        <v>51</v>
      </c>
      <c r="C40" s="3" t="s">
        <v>51</v>
      </c>
      <c r="D40" s="9"/>
      <c r="E40" s="3" t="s">
        <v>51</v>
      </c>
      <c r="F40" s="3"/>
      <c r="G40" s="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3"/>
      <c r="U40" s="3"/>
      <c r="V40" s="3"/>
      <c r="W40" s="9"/>
      <c r="X40" s="9"/>
      <c r="Y40" s="9"/>
      <c r="Z40" s="9"/>
      <c r="AA40" s="3" t="s">
        <v>51</v>
      </c>
      <c r="AB40" s="9"/>
      <c r="AC40" s="9"/>
      <c r="AD40" s="9"/>
      <c r="AE40" s="9"/>
      <c r="AF40" s="9"/>
      <c r="AG40" s="9"/>
      <c r="AH40" s="9"/>
      <c r="AI40" s="9"/>
    </row>
    <row r="41">
      <c r="A41" s="8" t="s">
        <v>112</v>
      </c>
      <c r="B41" s="9"/>
      <c r="C41" s="3" t="s">
        <v>51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"/>
      <c r="U41" s="3"/>
      <c r="V41" s="3"/>
      <c r="W41" s="3" t="s">
        <v>51</v>
      </c>
      <c r="X41" s="9"/>
      <c r="Y41" s="9"/>
      <c r="Z41" s="9"/>
      <c r="AA41" s="3" t="s">
        <v>51</v>
      </c>
      <c r="AB41" s="9"/>
      <c r="AC41" s="9"/>
      <c r="AD41" s="9"/>
      <c r="AE41" s="9"/>
      <c r="AF41" s="9"/>
      <c r="AG41" s="9"/>
      <c r="AH41" s="9"/>
      <c r="AI41" s="9"/>
    </row>
    <row r="42">
      <c r="A42" s="10" t="s">
        <v>114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3" t="s">
        <v>51</v>
      </c>
      <c r="AC42" s="3"/>
      <c r="AD42" s="3"/>
      <c r="AE42" s="3"/>
      <c r="AF42" s="9"/>
      <c r="AG42" s="9"/>
      <c r="AH42" s="9"/>
      <c r="AI42" s="9"/>
    </row>
    <row r="43">
      <c r="A43" s="8" t="s">
        <v>116</v>
      </c>
      <c r="B43" s="9"/>
      <c r="C43" s="3" t="s">
        <v>51</v>
      </c>
      <c r="D43" s="9"/>
      <c r="E43" s="3" t="s">
        <v>51</v>
      </c>
      <c r="F43" s="3"/>
      <c r="G43" s="3"/>
      <c r="H43" s="9"/>
      <c r="I43" s="9"/>
      <c r="J43" s="9"/>
      <c r="K43" s="9"/>
      <c r="L43" s="9"/>
      <c r="M43" s="9"/>
      <c r="N43" s="9"/>
      <c r="O43" s="9"/>
      <c r="P43" s="9"/>
      <c r="Q43" s="9"/>
      <c r="R43" s="3" t="s">
        <v>51</v>
      </c>
      <c r="S43" s="9"/>
      <c r="T43" s="9"/>
      <c r="U43" s="9"/>
      <c r="V43" s="9"/>
      <c r="W43" s="3" t="s">
        <v>51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>
      <c r="A44" s="8" t="s">
        <v>118</v>
      </c>
      <c r="B44" s="9"/>
      <c r="C44" s="3" t="s">
        <v>51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3"/>
      <c r="U44" s="3"/>
      <c r="V44" s="3"/>
      <c r="W44" s="9"/>
      <c r="X44" s="9"/>
      <c r="Y44" s="9"/>
      <c r="Z44" s="9"/>
      <c r="AA44" s="3" t="s">
        <v>51</v>
      </c>
      <c r="AB44" s="9"/>
      <c r="AC44" s="9"/>
      <c r="AD44" s="9"/>
      <c r="AE44" s="9"/>
      <c r="AF44" s="9"/>
      <c r="AG44" s="9"/>
      <c r="AH44" s="9"/>
      <c r="AI44" s="9"/>
    </row>
    <row r="45">
      <c r="A45" s="8" t="s">
        <v>119</v>
      </c>
      <c r="B45" s="3" t="s">
        <v>51</v>
      </c>
      <c r="C45" s="3" t="s">
        <v>51</v>
      </c>
      <c r="D45" s="3" t="s">
        <v>51</v>
      </c>
      <c r="E45" s="3" t="s">
        <v>51</v>
      </c>
      <c r="F45" s="9"/>
      <c r="G45" s="9"/>
      <c r="H45" s="3" t="s">
        <v>51</v>
      </c>
      <c r="I45" s="9"/>
      <c r="J45" s="9"/>
      <c r="K45" s="9"/>
      <c r="L45" s="9"/>
      <c r="M45" s="9"/>
      <c r="N45" s="9"/>
      <c r="O45" s="9"/>
      <c r="P45" s="9"/>
      <c r="Q45" s="9"/>
      <c r="R45" s="3" t="s">
        <v>51</v>
      </c>
      <c r="S45" s="3" t="s">
        <v>51</v>
      </c>
      <c r="T45" s="3" t="s">
        <v>51</v>
      </c>
      <c r="U45" s="9"/>
      <c r="V45" s="9"/>
      <c r="W45" s="3" t="s">
        <v>51</v>
      </c>
      <c r="X45" s="9"/>
      <c r="Y45" s="9"/>
      <c r="Z45" s="9"/>
      <c r="AA45" s="3" t="s">
        <v>51</v>
      </c>
      <c r="AB45" s="3" t="s">
        <v>51</v>
      </c>
      <c r="AC45" s="9"/>
      <c r="AD45" s="9"/>
      <c r="AE45" s="9"/>
      <c r="AF45" s="3" t="s">
        <v>51</v>
      </c>
      <c r="AG45" s="9"/>
      <c r="AH45" s="9"/>
      <c r="AI45" s="9"/>
    </row>
    <row r="46">
      <c r="A46" s="8" t="s">
        <v>120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3" t="s">
        <v>51</v>
      </c>
      <c r="AB46" s="9"/>
      <c r="AC46" s="9"/>
      <c r="AD46" s="9"/>
      <c r="AE46" s="9"/>
      <c r="AF46" s="9"/>
      <c r="AG46" s="9"/>
      <c r="AH46" s="9"/>
      <c r="AI46" s="9"/>
    </row>
    <row r="47">
      <c r="A47" s="8" t="s">
        <v>121</v>
      </c>
      <c r="B47" s="9"/>
      <c r="C47" s="9"/>
      <c r="D47" s="3" t="s">
        <v>51</v>
      </c>
      <c r="E47" s="3" t="s">
        <v>51</v>
      </c>
      <c r="F47" s="3"/>
      <c r="G47" s="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>
      <c r="A48" s="8" t="s">
        <v>122</v>
      </c>
      <c r="B48" s="9"/>
      <c r="C48" s="9"/>
      <c r="D48" s="9"/>
      <c r="E48" s="3" t="s">
        <v>51</v>
      </c>
      <c r="F48" s="9"/>
      <c r="G48" s="9"/>
      <c r="H48" s="3" t="s">
        <v>51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3" t="s">
        <v>51</v>
      </c>
      <c r="X48" s="9"/>
      <c r="Y48" s="9"/>
      <c r="Z48" s="9"/>
      <c r="AA48" s="3" t="s">
        <v>51</v>
      </c>
      <c r="AB48" s="9"/>
      <c r="AC48" s="9"/>
      <c r="AD48" s="9"/>
      <c r="AE48" s="9"/>
      <c r="AF48" s="3" t="s">
        <v>51</v>
      </c>
      <c r="AG48" s="9"/>
      <c r="AH48" s="9"/>
      <c r="AI48" s="9"/>
    </row>
    <row r="49">
      <c r="A49" s="8" t="s">
        <v>123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3" t="s">
        <v>51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</sheetData>
  <conditionalFormatting sqref="B2:AI49">
    <cfRule type="containsText" dxfId="0" priority="1" operator="containsText" text="Y">
      <formula>NOT(ISERROR(SEARCH(("Y"),(B2))))</formula>
    </cfRule>
  </conditionalFormatting>
  <conditionalFormatting sqref="B2:AI49">
    <cfRule type="notContainsText" dxfId="1" priority="2" operator="notContains" text="Y">
      <formula>ISERROR(SEARCH(("Y"),(B2)))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ustomWidth="1" min="1" max="1" width="17.0"/>
    <col customWidth="1" min="2" max="2" width="7.0"/>
    <col customWidth="1" min="3" max="14" width="6.38"/>
    <col customWidth="1" min="15" max="15" width="12.63"/>
  </cols>
  <sheetData>
    <row r="1">
      <c r="A1" s="1" t="s">
        <v>0</v>
      </c>
      <c r="B1" s="3" t="s">
        <v>2</v>
      </c>
      <c r="C1" s="3" t="s">
        <v>4</v>
      </c>
      <c r="D1" s="3" t="s">
        <v>7</v>
      </c>
      <c r="E1" s="3" t="s">
        <v>9</v>
      </c>
      <c r="F1" s="3" t="s">
        <v>11</v>
      </c>
      <c r="G1" s="3" t="s">
        <v>13</v>
      </c>
      <c r="H1" s="3" t="s">
        <v>15</v>
      </c>
      <c r="I1" s="3" t="s">
        <v>18</v>
      </c>
      <c r="J1" s="3" t="s">
        <v>20</v>
      </c>
      <c r="K1" s="3" t="s">
        <v>23</v>
      </c>
      <c r="L1" s="3" t="s">
        <v>26</v>
      </c>
      <c r="M1" s="3" t="s">
        <v>28</v>
      </c>
      <c r="N1" s="3" t="s">
        <v>30</v>
      </c>
      <c r="O1" s="3" t="s">
        <v>33</v>
      </c>
    </row>
    <row r="2">
      <c r="A2" s="5" t="s">
        <v>36</v>
      </c>
      <c r="B2" s="6">
        <v>10.0</v>
      </c>
      <c r="C2" s="7">
        <v>20.0</v>
      </c>
      <c r="D2" s="7">
        <v>20.0</v>
      </c>
      <c r="E2" s="7">
        <v>20.0</v>
      </c>
      <c r="F2" s="7">
        <v>20.0</v>
      </c>
      <c r="G2" s="7">
        <v>20.0</v>
      </c>
      <c r="H2" s="7">
        <v>25.0</v>
      </c>
      <c r="I2" s="7">
        <v>20.0</v>
      </c>
      <c r="J2" s="7">
        <v>25.0</v>
      </c>
      <c r="K2" s="7">
        <v>35.0</v>
      </c>
      <c r="L2" s="11">
        <f t="shared" ref="L2:L48" si="1">SUM(C2:K2)</f>
        <v>205</v>
      </c>
      <c r="M2" s="11"/>
      <c r="N2" s="11"/>
      <c r="O2" s="11">
        <f t="shared" ref="O2:O48" si="2">AVERAGE(C2:K2)</f>
        <v>22.77777778</v>
      </c>
    </row>
    <row r="3">
      <c r="A3" s="12" t="s">
        <v>54</v>
      </c>
      <c r="B3" s="13">
        <v>4.0</v>
      </c>
      <c r="C3" s="11"/>
      <c r="D3" s="11"/>
      <c r="E3" s="11"/>
      <c r="F3" s="11"/>
      <c r="G3" s="11"/>
      <c r="H3" s="11"/>
      <c r="I3" s="11"/>
      <c r="J3" s="11"/>
      <c r="K3" s="11"/>
      <c r="L3" s="11">
        <f t="shared" si="1"/>
        <v>0</v>
      </c>
      <c r="M3" s="11"/>
      <c r="N3" s="11"/>
      <c r="O3" s="11" t="str">
        <f t="shared" si="2"/>
        <v>#DIV/0!</v>
      </c>
    </row>
    <row r="4">
      <c r="A4" s="12" t="s">
        <v>56</v>
      </c>
      <c r="B4" s="13">
        <v>4.0</v>
      </c>
      <c r="C4" s="11"/>
      <c r="D4" s="11"/>
      <c r="E4" s="11"/>
      <c r="F4" s="11"/>
      <c r="G4" s="11"/>
      <c r="H4" s="11"/>
      <c r="I4" s="11"/>
      <c r="J4" s="11"/>
      <c r="K4" s="11"/>
      <c r="L4" s="11">
        <f t="shared" si="1"/>
        <v>0</v>
      </c>
      <c r="M4" s="11"/>
      <c r="N4" s="11"/>
      <c r="O4" s="11" t="str">
        <f t="shared" si="2"/>
        <v>#DIV/0!</v>
      </c>
    </row>
    <row r="5">
      <c r="A5" s="12" t="s">
        <v>58</v>
      </c>
      <c r="B5" s="6">
        <v>13.0</v>
      </c>
      <c r="C5" s="7">
        <v>25.0</v>
      </c>
      <c r="D5" s="7">
        <v>15.0</v>
      </c>
      <c r="E5" s="7">
        <v>35.0</v>
      </c>
      <c r="F5" s="7">
        <v>20.0</v>
      </c>
      <c r="G5" s="7">
        <v>30.0</v>
      </c>
      <c r="H5" s="7">
        <v>20.0</v>
      </c>
      <c r="I5" s="7">
        <v>20.0</v>
      </c>
      <c r="J5" s="7">
        <v>20.0</v>
      </c>
      <c r="K5" s="7">
        <v>20.0</v>
      </c>
      <c r="L5" s="11">
        <f t="shared" si="1"/>
        <v>205</v>
      </c>
      <c r="M5" s="11"/>
      <c r="N5" s="11"/>
      <c r="O5" s="11">
        <f t="shared" si="2"/>
        <v>22.77777778</v>
      </c>
    </row>
    <row r="6">
      <c r="A6" s="12" t="s">
        <v>61</v>
      </c>
      <c r="B6" s="6">
        <v>10.0</v>
      </c>
      <c r="C6" s="7">
        <v>20.0</v>
      </c>
      <c r="D6" s="7">
        <v>20.0</v>
      </c>
      <c r="E6" s="7">
        <v>25.0</v>
      </c>
      <c r="F6" s="7">
        <v>25.0</v>
      </c>
      <c r="G6" s="7">
        <v>25.0</v>
      </c>
      <c r="H6" s="7">
        <v>20.0</v>
      </c>
      <c r="I6" s="7">
        <v>20.0</v>
      </c>
      <c r="J6" s="7">
        <v>25.0</v>
      </c>
      <c r="K6" s="7">
        <v>20.0</v>
      </c>
      <c r="L6" s="11">
        <f t="shared" si="1"/>
        <v>200</v>
      </c>
      <c r="M6" s="11"/>
      <c r="N6" s="11"/>
      <c r="O6" s="11">
        <f t="shared" si="2"/>
        <v>22.22222222</v>
      </c>
    </row>
    <row r="7">
      <c r="A7" s="12" t="s">
        <v>63</v>
      </c>
      <c r="B7" s="6">
        <v>9.0</v>
      </c>
      <c r="C7" s="7">
        <v>20.0</v>
      </c>
      <c r="D7" s="7">
        <v>20.0</v>
      </c>
      <c r="E7" s="7">
        <v>20.0</v>
      </c>
      <c r="F7" s="7">
        <v>35.0</v>
      </c>
      <c r="G7" s="7">
        <v>20.0</v>
      </c>
      <c r="H7" s="7">
        <v>20.0</v>
      </c>
      <c r="I7" s="7">
        <v>25.0</v>
      </c>
      <c r="J7" s="7">
        <v>15.0</v>
      </c>
      <c r="K7" s="7">
        <v>20.0</v>
      </c>
      <c r="L7" s="11">
        <f t="shared" si="1"/>
        <v>195</v>
      </c>
      <c r="M7" s="11"/>
      <c r="N7" s="11"/>
      <c r="O7" s="11">
        <f t="shared" si="2"/>
        <v>21.66666667</v>
      </c>
    </row>
    <row r="8">
      <c r="A8" s="12" t="s">
        <v>65</v>
      </c>
      <c r="B8" s="6">
        <v>12.0</v>
      </c>
      <c r="C8" s="7">
        <v>25.0</v>
      </c>
      <c r="D8" s="7">
        <v>15.0</v>
      </c>
      <c r="E8" s="7">
        <v>30.0</v>
      </c>
      <c r="F8" s="7">
        <v>20.0</v>
      </c>
      <c r="G8" s="7">
        <v>20.0</v>
      </c>
      <c r="H8" s="7">
        <v>20.0</v>
      </c>
      <c r="I8" s="7">
        <v>35.0</v>
      </c>
      <c r="J8" s="7">
        <v>20.0</v>
      </c>
      <c r="K8" s="7">
        <v>20.0</v>
      </c>
      <c r="L8" s="11">
        <f t="shared" si="1"/>
        <v>205</v>
      </c>
      <c r="M8" s="11"/>
      <c r="N8" s="11"/>
      <c r="O8" s="11">
        <f t="shared" si="2"/>
        <v>22.77777778</v>
      </c>
    </row>
    <row r="9">
      <c r="A9" s="5" t="s">
        <v>62</v>
      </c>
      <c r="B9" s="6">
        <v>10.0</v>
      </c>
      <c r="C9" s="7">
        <v>20.0</v>
      </c>
      <c r="D9" s="7">
        <v>20.0</v>
      </c>
      <c r="E9" s="7">
        <v>20.0</v>
      </c>
      <c r="F9" s="7">
        <v>35.0</v>
      </c>
      <c r="G9" s="7">
        <v>20.0</v>
      </c>
      <c r="H9" s="7">
        <v>20.0</v>
      </c>
      <c r="I9" s="7">
        <v>25.0</v>
      </c>
      <c r="J9" s="7">
        <v>15.0</v>
      </c>
      <c r="K9" s="7">
        <v>25.0</v>
      </c>
      <c r="L9" s="11">
        <f t="shared" si="1"/>
        <v>200</v>
      </c>
      <c r="M9" s="11"/>
      <c r="N9" s="11"/>
      <c r="O9" s="11">
        <f t="shared" si="2"/>
        <v>22.22222222</v>
      </c>
    </row>
    <row r="10">
      <c r="A10" s="5" t="s">
        <v>64</v>
      </c>
      <c r="B10" s="6">
        <v>10.0</v>
      </c>
      <c r="C10" s="7">
        <v>20.0</v>
      </c>
      <c r="D10" s="7">
        <v>20.0</v>
      </c>
      <c r="E10" s="7">
        <v>20.0</v>
      </c>
      <c r="F10" s="7">
        <v>30.0</v>
      </c>
      <c r="G10" s="7">
        <v>20.0</v>
      </c>
      <c r="H10" s="7">
        <v>20.0</v>
      </c>
      <c r="I10" s="7">
        <v>25.0</v>
      </c>
      <c r="J10" s="7">
        <v>20.0</v>
      </c>
      <c r="K10" s="7">
        <v>30.0</v>
      </c>
      <c r="L10" s="11">
        <f t="shared" si="1"/>
        <v>205</v>
      </c>
      <c r="M10" s="11"/>
      <c r="N10" s="11"/>
      <c r="O10" s="11">
        <f t="shared" si="2"/>
        <v>22.77777778</v>
      </c>
    </row>
    <row r="11">
      <c r="A11" s="5" t="s">
        <v>66</v>
      </c>
      <c r="B11" s="6">
        <v>10.0</v>
      </c>
      <c r="C11" s="7">
        <v>25.0</v>
      </c>
      <c r="D11" s="7">
        <v>25.0</v>
      </c>
      <c r="E11" s="7">
        <v>20.0</v>
      </c>
      <c r="F11" s="7">
        <v>20.0</v>
      </c>
      <c r="G11" s="7">
        <v>20.0</v>
      </c>
      <c r="H11" s="7">
        <v>25.0</v>
      </c>
      <c r="I11" s="7">
        <v>20.0</v>
      </c>
      <c r="J11" s="7">
        <v>30.0</v>
      </c>
      <c r="K11" s="7">
        <v>20.0</v>
      </c>
      <c r="L11" s="11">
        <f t="shared" si="1"/>
        <v>205</v>
      </c>
      <c r="M11" s="11"/>
      <c r="N11" s="11"/>
      <c r="O11" s="11">
        <f t="shared" si="2"/>
        <v>22.77777778</v>
      </c>
    </row>
    <row r="12">
      <c r="A12" s="12" t="s">
        <v>68</v>
      </c>
      <c r="B12" s="6">
        <v>9.0</v>
      </c>
      <c r="C12" s="7">
        <v>20.0</v>
      </c>
      <c r="D12" s="7">
        <v>20.0</v>
      </c>
      <c r="E12" s="7">
        <v>20.0</v>
      </c>
      <c r="F12" s="7">
        <v>25.0</v>
      </c>
      <c r="G12" s="7">
        <v>20.0</v>
      </c>
      <c r="H12" s="7">
        <v>35.0</v>
      </c>
      <c r="I12" s="7">
        <v>25.0</v>
      </c>
      <c r="J12" s="7">
        <v>20.0</v>
      </c>
      <c r="K12" s="7">
        <v>20.0</v>
      </c>
      <c r="L12" s="11">
        <f t="shared" si="1"/>
        <v>205</v>
      </c>
      <c r="M12" s="11"/>
      <c r="N12" s="11"/>
      <c r="O12" s="11">
        <f t="shared" si="2"/>
        <v>22.77777778</v>
      </c>
    </row>
    <row r="13">
      <c r="A13" s="12" t="s">
        <v>69</v>
      </c>
      <c r="B13" s="6">
        <v>9.0</v>
      </c>
      <c r="C13" s="7">
        <v>20.0</v>
      </c>
      <c r="D13" s="7">
        <v>20.0</v>
      </c>
      <c r="E13" s="7">
        <v>20.0</v>
      </c>
      <c r="F13" s="7">
        <v>25.0</v>
      </c>
      <c r="G13" s="7">
        <v>20.0</v>
      </c>
      <c r="H13" s="7">
        <v>35.0</v>
      </c>
      <c r="I13" s="7">
        <v>25.0</v>
      </c>
      <c r="J13" s="7">
        <v>20.0</v>
      </c>
      <c r="K13" s="7">
        <v>20.0</v>
      </c>
      <c r="L13" s="11">
        <f t="shared" si="1"/>
        <v>205</v>
      </c>
      <c r="M13" s="11"/>
      <c r="N13" s="11"/>
      <c r="O13" s="11">
        <f t="shared" si="2"/>
        <v>22.77777778</v>
      </c>
    </row>
    <row r="14">
      <c r="A14" s="12" t="s">
        <v>72</v>
      </c>
      <c r="B14" s="6">
        <v>9.0</v>
      </c>
      <c r="C14" s="7">
        <v>20.0</v>
      </c>
      <c r="D14" s="7">
        <v>20.0</v>
      </c>
      <c r="E14" s="7">
        <v>20.0</v>
      </c>
      <c r="F14" s="7">
        <v>25.0</v>
      </c>
      <c r="G14" s="7">
        <v>20.0</v>
      </c>
      <c r="H14" s="7">
        <v>35.0</v>
      </c>
      <c r="I14" s="7">
        <v>25.0</v>
      </c>
      <c r="J14" s="7">
        <v>20.0</v>
      </c>
      <c r="K14" s="7">
        <v>20.0</v>
      </c>
      <c r="L14" s="11">
        <f t="shared" si="1"/>
        <v>205</v>
      </c>
      <c r="M14" s="11"/>
      <c r="N14" s="11"/>
      <c r="O14" s="11">
        <f t="shared" si="2"/>
        <v>22.77777778</v>
      </c>
    </row>
    <row r="15">
      <c r="A15" s="5" t="s">
        <v>73</v>
      </c>
      <c r="B15" s="6">
        <v>12.0</v>
      </c>
      <c r="C15" s="7">
        <v>20.0</v>
      </c>
      <c r="D15" s="7">
        <v>20.0</v>
      </c>
      <c r="E15" s="7">
        <v>30.0</v>
      </c>
      <c r="F15" s="7">
        <v>20.0</v>
      </c>
      <c r="G15" s="7">
        <v>35.0</v>
      </c>
      <c r="H15" s="7">
        <v>15.0</v>
      </c>
      <c r="I15" s="7">
        <v>25.0</v>
      </c>
      <c r="J15" s="7">
        <v>20.0</v>
      </c>
      <c r="K15" s="7">
        <v>15.0</v>
      </c>
      <c r="L15" s="11">
        <f t="shared" si="1"/>
        <v>200</v>
      </c>
      <c r="M15" s="11"/>
      <c r="N15" s="11"/>
      <c r="O15" s="11">
        <f t="shared" si="2"/>
        <v>22.22222222</v>
      </c>
    </row>
    <row r="16">
      <c r="A16" s="5" t="s">
        <v>74</v>
      </c>
      <c r="B16" s="6">
        <v>7.0</v>
      </c>
      <c r="C16" s="7">
        <v>20.0</v>
      </c>
      <c r="D16" s="7">
        <v>20.0</v>
      </c>
      <c r="E16" s="7">
        <v>15.0</v>
      </c>
      <c r="F16" s="7">
        <v>25.0</v>
      </c>
      <c r="G16" s="7">
        <v>20.0</v>
      </c>
      <c r="H16" s="7">
        <v>25.0</v>
      </c>
      <c r="I16" s="7">
        <v>20.0</v>
      </c>
      <c r="J16" s="7">
        <v>15.0</v>
      </c>
      <c r="K16" s="7">
        <v>20.0</v>
      </c>
      <c r="L16" s="11">
        <f t="shared" si="1"/>
        <v>180</v>
      </c>
      <c r="M16" s="11"/>
      <c r="N16" s="11"/>
      <c r="O16" s="11">
        <f t="shared" si="2"/>
        <v>20</v>
      </c>
    </row>
    <row r="17">
      <c r="A17" s="12" t="s">
        <v>76</v>
      </c>
      <c r="B17" s="6">
        <v>10.0</v>
      </c>
      <c r="C17" s="7">
        <v>20.0</v>
      </c>
      <c r="D17" s="7">
        <v>20.0</v>
      </c>
      <c r="E17" s="7">
        <v>20.0</v>
      </c>
      <c r="F17" s="7">
        <v>20.0</v>
      </c>
      <c r="G17" s="7">
        <v>20.0</v>
      </c>
      <c r="H17" s="7">
        <v>20.0</v>
      </c>
      <c r="I17" s="7">
        <v>25.0</v>
      </c>
      <c r="J17" s="7">
        <v>25.0</v>
      </c>
      <c r="K17" s="7">
        <v>20.0</v>
      </c>
      <c r="L17" s="11">
        <f t="shared" si="1"/>
        <v>190</v>
      </c>
      <c r="M17" s="11"/>
      <c r="N17" s="11"/>
      <c r="O17" s="11">
        <f t="shared" si="2"/>
        <v>21.11111111</v>
      </c>
    </row>
    <row r="18">
      <c r="A18" s="12" t="s">
        <v>78</v>
      </c>
      <c r="B18" s="6">
        <v>10.0</v>
      </c>
      <c r="C18" s="7">
        <v>20.0</v>
      </c>
      <c r="D18" s="7">
        <v>20.0</v>
      </c>
      <c r="E18" s="7">
        <v>20.0</v>
      </c>
      <c r="F18" s="7">
        <v>25.0</v>
      </c>
      <c r="G18" s="7">
        <v>25.0</v>
      </c>
      <c r="H18" s="7">
        <v>15.0</v>
      </c>
      <c r="I18" s="7">
        <v>20.0</v>
      </c>
      <c r="J18" s="7">
        <v>15.0</v>
      </c>
      <c r="K18" s="7">
        <v>20.0</v>
      </c>
      <c r="L18" s="11">
        <f t="shared" si="1"/>
        <v>180</v>
      </c>
      <c r="M18" s="11"/>
      <c r="N18" s="11"/>
      <c r="O18" s="11">
        <f t="shared" si="2"/>
        <v>20</v>
      </c>
    </row>
    <row r="19">
      <c r="A19" s="12" t="s">
        <v>80</v>
      </c>
      <c r="B19" s="6">
        <v>10.0</v>
      </c>
      <c r="C19" s="7">
        <v>20.0</v>
      </c>
      <c r="D19" s="7">
        <v>20.0</v>
      </c>
      <c r="E19" s="7">
        <v>20.0</v>
      </c>
      <c r="F19" s="7">
        <v>25.0</v>
      </c>
      <c r="G19" s="7">
        <v>20.0</v>
      </c>
      <c r="H19" s="7">
        <v>25.0</v>
      </c>
      <c r="I19" s="7">
        <v>20.0</v>
      </c>
      <c r="J19" s="7">
        <v>20.0</v>
      </c>
      <c r="K19" s="7">
        <v>20.0</v>
      </c>
      <c r="L19" s="11">
        <f t="shared" si="1"/>
        <v>190</v>
      </c>
      <c r="M19" s="11"/>
      <c r="N19" s="11"/>
      <c r="O19" s="11">
        <f t="shared" si="2"/>
        <v>21.11111111</v>
      </c>
    </row>
    <row r="20">
      <c r="A20" s="12" t="s">
        <v>82</v>
      </c>
      <c r="B20" s="6">
        <v>10.0</v>
      </c>
      <c r="C20" s="7">
        <v>20.0</v>
      </c>
      <c r="D20" s="7">
        <v>20.0</v>
      </c>
      <c r="E20" s="7">
        <v>25.0</v>
      </c>
      <c r="F20" s="7">
        <v>20.0</v>
      </c>
      <c r="G20" s="7">
        <v>20.0</v>
      </c>
      <c r="H20" s="7">
        <v>25.0</v>
      </c>
      <c r="I20" s="7">
        <v>20.0</v>
      </c>
      <c r="J20" s="7">
        <v>20.0</v>
      </c>
      <c r="K20" s="7">
        <v>20.0</v>
      </c>
      <c r="L20" s="11">
        <f t="shared" si="1"/>
        <v>190</v>
      </c>
      <c r="M20" s="11"/>
      <c r="N20" s="11"/>
      <c r="O20" s="11">
        <f t="shared" si="2"/>
        <v>21.11111111</v>
      </c>
    </row>
    <row r="21">
      <c r="A21" s="12" t="s">
        <v>84</v>
      </c>
      <c r="B21" s="6">
        <v>10.0</v>
      </c>
      <c r="C21" s="7">
        <v>20.0</v>
      </c>
      <c r="D21" s="7">
        <v>20.0</v>
      </c>
      <c r="E21" s="7">
        <v>20.0</v>
      </c>
      <c r="F21" s="7">
        <v>20.0</v>
      </c>
      <c r="G21" s="7">
        <v>20.0</v>
      </c>
      <c r="H21" s="7">
        <v>15.0</v>
      </c>
      <c r="I21" s="7">
        <v>25.0</v>
      </c>
      <c r="J21" s="7">
        <v>20.0</v>
      </c>
      <c r="K21" s="7">
        <v>25.0</v>
      </c>
      <c r="L21" s="11">
        <f t="shared" si="1"/>
        <v>185</v>
      </c>
      <c r="M21" s="11"/>
      <c r="N21" s="11"/>
      <c r="O21" s="11">
        <f t="shared" si="2"/>
        <v>20.55555556</v>
      </c>
    </row>
    <row r="22">
      <c r="A22" s="5" t="s">
        <v>85</v>
      </c>
      <c r="B22" s="6">
        <v>10.0</v>
      </c>
      <c r="C22" s="7">
        <v>30.0</v>
      </c>
      <c r="D22" s="7">
        <v>30.0</v>
      </c>
      <c r="E22" s="7">
        <v>20.0</v>
      </c>
      <c r="F22" s="7">
        <v>20.0</v>
      </c>
      <c r="G22" s="7">
        <v>20.0</v>
      </c>
      <c r="H22" s="7">
        <v>20.0</v>
      </c>
      <c r="I22" s="7">
        <v>20.0</v>
      </c>
      <c r="J22" s="7">
        <v>20.0</v>
      </c>
      <c r="K22" s="7">
        <v>20.0</v>
      </c>
      <c r="L22" s="11">
        <f t="shared" si="1"/>
        <v>200</v>
      </c>
      <c r="M22" s="11"/>
      <c r="N22" s="11"/>
      <c r="O22" s="11">
        <f t="shared" si="2"/>
        <v>22.22222222</v>
      </c>
    </row>
    <row r="23">
      <c r="A23" s="5" t="s">
        <v>86</v>
      </c>
      <c r="B23" s="6">
        <v>9.0</v>
      </c>
      <c r="C23" s="7">
        <v>20.0</v>
      </c>
      <c r="D23" s="7">
        <v>20.0</v>
      </c>
      <c r="E23" s="7">
        <v>20.0</v>
      </c>
      <c r="F23" s="7">
        <v>30.0</v>
      </c>
      <c r="G23" s="7">
        <v>20.0</v>
      </c>
      <c r="H23" s="7">
        <v>25.0</v>
      </c>
      <c r="I23" s="7">
        <v>25.0</v>
      </c>
      <c r="J23" s="7">
        <v>20.0</v>
      </c>
      <c r="K23" s="7">
        <v>25.0</v>
      </c>
      <c r="L23" s="11">
        <f t="shared" si="1"/>
        <v>205</v>
      </c>
      <c r="M23" s="11"/>
      <c r="N23" s="11"/>
      <c r="O23" s="11">
        <f t="shared" si="2"/>
        <v>22.77777778</v>
      </c>
    </row>
    <row r="24">
      <c r="A24" s="5" t="s">
        <v>87</v>
      </c>
      <c r="B24" s="6">
        <v>8.0</v>
      </c>
      <c r="C24" s="7">
        <v>25.0</v>
      </c>
      <c r="D24" s="7">
        <v>20.0</v>
      </c>
      <c r="E24" s="7">
        <v>25.0</v>
      </c>
      <c r="F24" s="7">
        <v>20.0</v>
      </c>
      <c r="G24" s="7">
        <v>30.0</v>
      </c>
      <c r="H24" s="7">
        <v>20.0</v>
      </c>
      <c r="I24" s="7">
        <v>20.0</v>
      </c>
      <c r="J24" s="7">
        <v>15.0</v>
      </c>
      <c r="K24" s="7">
        <v>15.0</v>
      </c>
      <c r="L24" s="11">
        <f t="shared" si="1"/>
        <v>190</v>
      </c>
      <c r="M24" s="11"/>
      <c r="N24" s="11"/>
      <c r="O24" s="11">
        <f t="shared" si="2"/>
        <v>21.11111111</v>
      </c>
    </row>
    <row r="25">
      <c r="A25" s="12" t="s">
        <v>88</v>
      </c>
      <c r="B25" s="6">
        <v>10.0</v>
      </c>
      <c r="C25" s="7">
        <v>20.0</v>
      </c>
      <c r="D25" s="7">
        <v>15.0</v>
      </c>
      <c r="E25" s="7">
        <v>25.0</v>
      </c>
      <c r="F25" s="7">
        <v>25.0</v>
      </c>
      <c r="G25" s="7">
        <v>25.0</v>
      </c>
      <c r="H25" s="7">
        <v>20.0</v>
      </c>
      <c r="I25" s="7">
        <v>20.0</v>
      </c>
      <c r="J25" s="7">
        <v>20.0</v>
      </c>
      <c r="K25" s="7">
        <v>20.0</v>
      </c>
      <c r="L25" s="11">
        <f t="shared" si="1"/>
        <v>190</v>
      </c>
      <c r="M25" s="11"/>
      <c r="N25" s="11"/>
      <c r="O25" s="11">
        <f t="shared" si="2"/>
        <v>21.11111111</v>
      </c>
    </row>
    <row r="26">
      <c r="A26" s="12" t="s">
        <v>90</v>
      </c>
      <c r="B26" s="6">
        <v>11.0</v>
      </c>
      <c r="C26" s="7">
        <v>25.0</v>
      </c>
      <c r="D26" s="7">
        <v>15.0</v>
      </c>
      <c r="E26" s="7">
        <v>25.0</v>
      </c>
      <c r="F26" s="7">
        <v>25.0</v>
      </c>
      <c r="G26" s="7">
        <v>25.0</v>
      </c>
      <c r="H26" s="7">
        <v>20.0</v>
      </c>
      <c r="I26" s="7">
        <v>30.0</v>
      </c>
      <c r="J26" s="7">
        <v>25.0</v>
      </c>
      <c r="K26" s="7">
        <v>15.0</v>
      </c>
      <c r="L26" s="11">
        <f t="shared" si="1"/>
        <v>205</v>
      </c>
      <c r="M26" s="11"/>
      <c r="N26" s="11"/>
      <c r="O26" s="11">
        <f t="shared" si="2"/>
        <v>22.77777778</v>
      </c>
    </row>
    <row r="27">
      <c r="A27" s="5" t="s">
        <v>92</v>
      </c>
      <c r="B27" s="6">
        <v>12.0</v>
      </c>
      <c r="C27" s="7">
        <v>30.0</v>
      </c>
      <c r="D27" s="7">
        <v>15.0</v>
      </c>
      <c r="E27" s="7">
        <v>30.0</v>
      </c>
      <c r="F27" s="7">
        <v>20.0</v>
      </c>
      <c r="G27" s="7">
        <v>30.0</v>
      </c>
      <c r="H27" s="7">
        <v>15.0</v>
      </c>
      <c r="I27" s="7">
        <v>20.0</v>
      </c>
      <c r="J27" s="7">
        <v>20.0</v>
      </c>
      <c r="K27" s="7">
        <v>15.0</v>
      </c>
      <c r="L27" s="11">
        <f t="shared" si="1"/>
        <v>195</v>
      </c>
      <c r="M27" s="11"/>
      <c r="N27" s="11"/>
      <c r="O27" s="11">
        <f t="shared" si="2"/>
        <v>21.66666667</v>
      </c>
    </row>
    <row r="28">
      <c r="A28" s="5" t="s">
        <v>93</v>
      </c>
      <c r="B28" s="6">
        <v>12.0</v>
      </c>
      <c r="C28" s="7">
        <v>20.0</v>
      </c>
      <c r="D28" s="7">
        <v>20.0</v>
      </c>
      <c r="E28" s="7">
        <v>30.0</v>
      </c>
      <c r="F28" s="7">
        <v>20.0</v>
      </c>
      <c r="G28" s="7">
        <v>30.0</v>
      </c>
      <c r="H28" s="7">
        <v>15.0</v>
      </c>
      <c r="I28" s="7">
        <v>20.0</v>
      </c>
      <c r="J28" s="7">
        <v>15.0</v>
      </c>
      <c r="K28" s="7">
        <v>15.0</v>
      </c>
      <c r="L28" s="11">
        <f t="shared" si="1"/>
        <v>185</v>
      </c>
      <c r="M28" s="11"/>
      <c r="N28" s="11"/>
      <c r="O28" s="11">
        <f t="shared" si="2"/>
        <v>20.55555556</v>
      </c>
    </row>
    <row r="29">
      <c r="A29" s="12" t="s">
        <v>95</v>
      </c>
      <c r="B29" s="6">
        <v>8.0</v>
      </c>
      <c r="C29" s="7">
        <v>20.0</v>
      </c>
      <c r="D29" s="7">
        <v>20.0</v>
      </c>
      <c r="E29" s="7">
        <v>20.0</v>
      </c>
      <c r="F29" s="7">
        <v>30.0</v>
      </c>
      <c r="G29" s="7">
        <v>20.0</v>
      </c>
      <c r="H29" s="7">
        <v>20.0</v>
      </c>
      <c r="I29" s="7">
        <v>30.0</v>
      </c>
      <c r="J29" s="7">
        <v>20.0</v>
      </c>
      <c r="K29" s="7">
        <v>20.0</v>
      </c>
      <c r="L29" s="11">
        <f t="shared" si="1"/>
        <v>200</v>
      </c>
      <c r="M29" s="11"/>
      <c r="N29" s="11"/>
      <c r="O29" s="11">
        <f t="shared" si="2"/>
        <v>22.22222222</v>
      </c>
    </row>
    <row r="30">
      <c r="A30" s="12" t="s">
        <v>97</v>
      </c>
      <c r="B30" s="6">
        <v>9.0</v>
      </c>
      <c r="C30" s="7">
        <v>20.0</v>
      </c>
      <c r="D30" s="7">
        <v>20.0</v>
      </c>
      <c r="E30" s="7">
        <v>20.0</v>
      </c>
      <c r="F30" s="7">
        <v>20.0</v>
      </c>
      <c r="G30" s="7">
        <v>30.0</v>
      </c>
      <c r="H30" s="7">
        <v>20.0</v>
      </c>
      <c r="I30" s="7">
        <v>30.0</v>
      </c>
      <c r="J30" s="7">
        <v>25.0</v>
      </c>
      <c r="K30" s="7">
        <v>15.0</v>
      </c>
      <c r="L30" s="11">
        <f t="shared" si="1"/>
        <v>200</v>
      </c>
      <c r="M30" s="11"/>
      <c r="N30" s="11"/>
      <c r="O30" s="11">
        <f t="shared" si="2"/>
        <v>22.22222222</v>
      </c>
    </row>
    <row r="31">
      <c r="A31" s="12" t="s">
        <v>99</v>
      </c>
      <c r="B31" s="6">
        <v>8.0</v>
      </c>
      <c r="C31" s="7">
        <v>20.0</v>
      </c>
      <c r="D31" s="7">
        <v>20.0</v>
      </c>
      <c r="E31" s="7">
        <v>20.0</v>
      </c>
      <c r="F31" s="7">
        <v>20.0</v>
      </c>
      <c r="G31" s="7">
        <v>20.0</v>
      </c>
      <c r="H31" s="7">
        <v>30.0</v>
      </c>
      <c r="I31" s="7">
        <v>25.0</v>
      </c>
      <c r="J31" s="7">
        <v>20.0</v>
      </c>
      <c r="K31" s="7">
        <v>30.0</v>
      </c>
      <c r="L31" s="11">
        <f t="shared" si="1"/>
        <v>205</v>
      </c>
      <c r="M31" s="11"/>
      <c r="N31" s="11"/>
      <c r="O31" s="11">
        <f t="shared" si="2"/>
        <v>22.77777778</v>
      </c>
    </row>
    <row r="32">
      <c r="A32" s="5" t="s">
        <v>94</v>
      </c>
      <c r="B32" s="6">
        <v>9.0</v>
      </c>
      <c r="C32" s="7">
        <v>20.0</v>
      </c>
      <c r="D32" s="7">
        <v>20.0</v>
      </c>
      <c r="E32" s="7">
        <v>20.0</v>
      </c>
      <c r="F32" s="7">
        <v>35.0</v>
      </c>
      <c r="G32" s="7">
        <v>20.0</v>
      </c>
      <c r="H32" s="7">
        <v>25.0</v>
      </c>
      <c r="I32" s="7">
        <v>20.0</v>
      </c>
      <c r="J32" s="7">
        <v>20.0</v>
      </c>
      <c r="K32" s="7">
        <v>25.0</v>
      </c>
      <c r="L32" s="11">
        <f t="shared" si="1"/>
        <v>205</v>
      </c>
      <c r="M32" s="11"/>
      <c r="N32" s="11"/>
      <c r="O32" s="11">
        <f t="shared" si="2"/>
        <v>22.77777778</v>
      </c>
    </row>
    <row r="33">
      <c r="A33" s="12" t="s">
        <v>102</v>
      </c>
      <c r="B33" s="6">
        <v>11.0</v>
      </c>
      <c r="C33" s="7">
        <v>20.0</v>
      </c>
      <c r="D33" s="7">
        <v>15.0</v>
      </c>
      <c r="E33" s="7">
        <v>30.0</v>
      </c>
      <c r="F33" s="7">
        <v>20.0</v>
      </c>
      <c r="G33" s="7">
        <v>35.0</v>
      </c>
      <c r="H33" s="7">
        <v>20.0</v>
      </c>
      <c r="I33" s="7">
        <v>20.0</v>
      </c>
      <c r="J33" s="7">
        <v>20.0</v>
      </c>
      <c r="K33" s="7">
        <v>25.0</v>
      </c>
      <c r="L33" s="11">
        <f t="shared" si="1"/>
        <v>205</v>
      </c>
      <c r="M33" s="11"/>
      <c r="N33" s="11"/>
      <c r="O33" s="11">
        <f t="shared" si="2"/>
        <v>22.77777778</v>
      </c>
    </row>
    <row r="34">
      <c r="A34" s="5" t="s">
        <v>100</v>
      </c>
      <c r="B34" s="6">
        <v>10.0</v>
      </c>
      <c r="C34" s="7">
        <v>15.0</v>
      </c>
      <c r="D34" s="7">
        <v>15.0</v>
      </c>
      <c r="E34" s="7">
        <v>15.0</v>
      </c>
      <c r="F34" s="7">
        <v>15.0</v>
      </c>
      <c r="G34" s="7">
        <v>15.0</v>
      </c>
      <c r="H34" s="7">
        <v>15.0</v>
      </c>
      <c r="I34" s="7">
        <v>15.0</v>
      </c>
      <c r="J34" s="7">
        <v>15.0</v>
      </c>
      <c r="K34" s="7">
        <v>15.0</v>
      </c>
      <c r="L34" s="11">
        <f t="shared" si="1"/>
        <v>135</v>
      </c>
      <c r="M34" s="11"/>
      <c r="N34" s="11"/>
      <c r="O34" s="11">
        <f t="shared" si="2"/>
        <v>15</v>
      </c>
    </row>
    <row r="35">
      <c r="A35" s="5" t="s">
        <v>105</v>
      </c>
      <c r="B35" s="6">
        <v>11.0</v>
      </c>
      <c r="C35" s="7">
        <v>25.0</v>
      </c>
      <c r="D35" s="7">
        <v>20.0</v>
      </c>
      <c r="E35" s="7">
        <v>20.0</v>
      </c>
      <c r="F35" s="7">
        <v>20.0</v>
      </c>
      <c r="G35" s="7">
        <v>25.0</v>
      </c>
      <c r="H35" s="7">
        <v>20.0</v>
      </c>
      <c r="I35" s="7">
        <v>25.0</v>
      </c>
      <c r="J35" s="7">
        <v>15.0</v>
      </c>
      <c r="K35" s="7">
        <v>20.0</v>
      </c>
      <c r="L35" s="11">
        <f t="shared" si="1"/>
        <v>190</v>
      </c>
      <c r="M35" s="11"/>
      <c r="N35" s="11"/>
      <c r="O35" s="11">
        <f t="shared" si="2"/>
        <v>21.11111111</v>
      </c>
    </row>
    <row r="36">
      <c r="A36" s="14" t="s">
        <v>106</v>
      </c>
      <c r="B36" s="15">
        <v>15.0</v>
      </c>
      <c r="C36" s="16">
        <v>25.0</v>
      </c>
      <c r="D36" s="16">
        <v>15.0</v>
      </c>
      <c r="E36" s="16">
        <v>50.0</v>
      </c>
      <c r="F36" s="16">
        <v>20.0</v>
      </c>
      <c r="G36" s="16">
        <v>50.0</v>
      </c>
      <c r="H36" s="16">
        <v>15.0</v>
      </c>
      <c r="I36" s="16">
        <v>20.0</v>
      </c>
      <c r="J36" s="16">
        <v>20.0</v>
      </c>
      <c r="K36" s="16">
        <v>20.0</v>
      </c>
      <c r="L36" s="17">
        <f t="shared" si="1"/>
        <v>235</v>
      </c>
      <c r="M36" s="17"/>
      <c r="N36" s="17"/>
      <c r="O36" s="17">
        <f t="shared" si="2"/>
        <v>26.11111111</v>
      </c>
    </row>
    <row r="37">
      <c r="A37" s="18" t="s">
        <v>107</v>
      </c>
      <c r="B37" s="15">
        <v>14.0</v>
      </c>
      <c r="C37" s="16">
        <v>25.0</v>
      </c>
      <c r="D37" s="16">
        <v>25.0</v>
      </c>
      <c r="E37" s="16">
        <v>30.0</v>
      </c>
      <c r="F37" s="16">
        <v>25.0</v>
      </c>
      <c r="G37" s="16">
        <v>40.0</v>
      </c>
      <c r="H37" s="16">
        <v>25.0</v>
      </c>
      <c r="I37" s="16">
        <v>25.0</v>
      </c>
      <c r="J37" s="16">
        <v>25.0</v>
      </c>
      <c r="K37" s="16">
        <v>25.0</v>
      </c>
      <c r="L37" s="17">
        <f t="shared" si="1"/>
        <v>245</v>
      </c>
      <c r="M37" s="17"/>
      <c r="N37" s="17"/>
      <c r="O37" s="17">
        <f t="shared" si="2"/>
        <v>27.22222222</v>
      </c>
    </row>
    <row r="38">
      <c r="A38" s="14" t="s">
        <v>109</v>
      </c>
      <c r="B38" s="15">
        <v>10.0</v>
      </c>
      <c r="C38" s="16">
        <v>20.0</v>
      </c>
      <c r="D38" s="16">
        <v>20.0</v>
      </c>
      <c r="E38" s="16">
        <v>20.0</v>
      </c>
      <c r="F38" s="16">
        <v>40.0</v>
      </c>
      <c r="G38" s="16">
        <v>30.0</v>
      </c>
      <c r="H38" s="16">
        <v>25.0</v>
      </c>
      <c r="I38" s="16">
        <v>20.0</v>
      </c>
      <c r="J38" s="16">
        <v>20.0</v>
      </c>
      <c r="K38" s="16">
        <v>25.0</v>
      </c>
      <c r="L38" s="17">
        <f t="shared" si="1"/>
        <v>220</v>
      </c>
      <c r="M38" s="17"/>
      <c r="N38" s="17"/>
      <c r="O38" s="17">
        <f t="shared" si="2"/>
        <v>24.44444444</v>
      </c>
    </row>
    <row r="39">
      <c r="A39" s="14" t="s">
        <v>110</v>
      </c>
      <c r="B39" s="15">
        <v>5.0</v>
      </c>
      <c r="C39" s="16">
        <v>25.0</v>
      </c>
      <c r="D39" s="16">
        <v>25.0</v>
      </c>
      <c r="E39" s="16">
        <v>15.0</v>
      </c>
      <c r="F39" s="16">
        <v>40.0</v>
      </c>
      <c r="G39" s="16">
        <v>20.0</v>
      </c>
      <c r="H39" s="16">
        <v>40.0</v>
      </c>
      <c r="I39" s="16">
        <v>25.0</v>
      </c>
      <c r="J39" s="16">
        <v>25.0</v>
      </c>
      <c r="K39" s="16">
        <v>15.0</v>
      </c>
      <c r="L39" s="17">
        <f t="shared" si="1"/>
        <v>230</v>
      </c>
      <c r="M39" s="17"/>
      <c r="N39" s="17"/>
      <c r="O39" s="17">
        <f t="shared" si="2"/>
        <v>25.55555556</v>
      </c>
    </row>
    <row r="40">
      <c r="A40" s="14" t="s">
        <v>111</v>
      </c>
      <c r="B40" s="15">
        <v>10.0</v>
      </c>
      <c r="C40" s="16">
        <v>25.0</v>
      </c>
      <c r="D40" s="16">
        <v>25.0</v>
      </c>
      <c r="E40" s="16">
        <v>20.0</v>
      </c>
      <c r="F40" s="16">
        <v>40.0</v>
      </c>
      <c r="G40" s="16">
        <v>25.0</v>
      </c>
      <c r="H40" s="16">
        <v>30.0</v>
      </c>
      <c r="I40" s="16">
        <v>25.0</v>
      </c>
      <c r="J40" s="16">
        <v>25.0</v>
      </c>
      <c r="K40" s="16">
        <v>40.0</v>
      </c>
      <c r="L40" s="17">
        <f t="shared" si="1"/>
        <v>255</v>
      </c>
      <c r="M40" s="17"/>
      <c r="N40" s="17"/>
      <c r="O40" s="17">
        <f t="shared" si="2"/>
        <v>28.33333333</v>
      </c>
    </row>
    <row r="41">
      <c r="A41" s="18" t="s">
        <v>112</v>
      </c>
      <c r="B41" s="15"/>
      <c r="C41" s="16">
        <v>20.0</v>
      </c>
      <c r="D41" s="16">
        <v>20.0</v>
      </c>
      <c r="E41" s="16">
        <v>20.0</v>
      </c>
      <c r="F41" s="16">
        <v>35.0</v>
      </c>
      <c r="G41" s="16">
        <v>25.0</v>
      </c>
      <c r="H41" s="16">
        <v>30.0</v>
      </c>
      <c r="I41" s="16">
        <v>30.0</v>
      </c>
      <c r="J41" s="16">
        <v>25.0</v>
      </c>
      <c r="K41" s="16">
        <v>30.0</v>
      </c>
      <c r="L41" s="17">
        <f t="shared" si="1"/>
        <v>235</v>
      </c>
      <c r="M41" s="17"/>
      <c r="N41" s="17"/>
      <c r="O41" s="17">
        <f t="shared" si="2"/>
        <v>26.11111111</v>
      </c>
    </row>
    <row r="42">
      <c r="A42" s="14" t="s">
        <v>114</v>
      </c>
      <c r="B42" s="15">
        <v>15.0</v>
      </c>
      <c r="C42" s="16">
        <v>25.0</v>
      </c>
      <c r="D42" s="16">
        <v>25.0</v>
      </c>
      <c r="E42" s="16">
        <v>50.0</v>
      </c>
      <c r="F42" s="16">
        <v>20.0</v>
      </c>
      <c r="G42" s="16">
        <v>50.0</v>
      </c>
      <c r="H42" s="16">
        <v>20.0</v>
      </c>
      <c r="I42" s="16">
        <v>20.0</v>
      </c>
      <c r="J42" s="16">
        <v>20.0</v>
      </c>
      <c r="K42" s="16">
        <v>15.0</v>
      </c>
      <c r="L42" s="17">
        <f t="shared" si="1"/>
        <v>245</v>
      </c>
      <c r="M42" s="17"/>
      <c r="N42" s="17"/>
      <c r="O42" s="17">
        <f t="shared" si="2"/>
        <v>27.22222222</v>
      </c>
    </row>
    <row r="43">
      <c r="A43" s="18" t="s">
        <v>116</v>
      </c>
      <c r="B43" s="15"/>
      <c r="C43" s="16">
        <v>25.0</v>
      </c>
      <c r="D43" s="16">
        <v>20.0</v>
      </c>
      <c r="E43" s="16">
        <v>40.0</v>
      </c>
      <c r="F43" s="16">
        <v>40.0</v>
      </c>
      <c r="G43" s="16">
        <v>25.0</v>
      </c>
      <c r="H43" s="16">
        <v>25.0</v>
      </c>
      <c r="I43" s="16">
        <v>25.0</v>
      </c>
      <c r="J43" s="16">
        <v>25.0</v>
      </c>
      <c r="K43" s="16">
        <v>20.0</v>
      </c>
      <c r="L43" s="17">
        <f t="shared" si="1"/>
        <v>245</v>
      </c>
      <c r="M43" s="17"/>
      <c r="N43" s="17"/>
      <c r="O43" s="17">
        <f t="shared" si="2"/>
        <v>27.22222222</v>
      </c>
    </row>
    <row r="44">
      <c r="A44" s="18" t="s">
        <v>118</v>
      </c>
      <c r="B44" s="15"/>
      <c r="C44" s="16">
        <v>20.0</v>
      </c>
      <c r="D44" s="16">
        <v>20.0</v>
      </c>
      <c r="E44" s="16">
        <v>20.0</v>
      </c>
      <c r="F44" s="16">
        <v>30.0</v>
      </c>
      <c r="G44" s="16">
        <v>30.0</v>
      </c>
      <c r="H44" s="16">
        <v>25.0</v>
      </c>
      <c r="I44" s="16">
        <v>30.0</v>
      </c>
      <c r="J44" s="16">
        <v>20.0</v>
      </c>
      <c r="K44" s="16">
        <v>40.0</v>
      </c>
      <c r="L44" s="17">
        <f t="shared" si="1"/>
        <v>235</v>
      </c>
      <c r="M44" s="17"/>
      <c r="N44" s="17"/>
      <c r="O44" s="17">
        <f t="shared" si="2"/>
        <v>26.11111111</v>
      </c>
    </row>
    <row r="45">
      <c r="A45" s="19" t="s">
        <v>119</v>
      </c>
      <c r="B45" s="20"/>
      <c r="C45" s="21">
        <v>35.0</v>
      </c>
      <c r="D45" s="21">
        <v>35.0</v>
      </c>
      <c r="E45" s="21">
        <v>35.0</v>
      </c>
      <c r="F45" s="21">
        <v>35.0</v>
      </c>
      <c r="G45" s="21">
        <v>35.0</v>
      </c>
      <c r="H45" s="21">
        <v>35.0</v>
      </c>
      <c r="I45" s="21">
        <v>35.0</v>
      </c>
      <c r="J45" s="21">
        <v>35.0</v>
      </c>
      <c r="K45" s="21">
        <v>35.0</v>
      </c>
      <c r="L45" s="20">
        <f t="shared" si="1"/>
        <v>315</v>
      </c>
      <c r="M45" s="20"/>
      <c r="N45" s="20"/>
      <c r="O45" s="20">
        <f t="shared" si="2"/>
        <v>35</v>
      </c>
    </row>
    <row r="46">
      <c r="A46" s="19" t="s">
        <v>120</v>
      </c>
      <c r="B46" s="22"/>
      <c r="C46" s="23">
        <v>30.0</v>
      </c>
      <c r="D46" s="23">
        <v>30.0</v>
      </c>
      <c r="E46" s="23">
        <v>60.0</v>
      </c>
      <c r="F46" s="23">
        <v>20.0</v>
      </c>
      <c r="G46" s="23">
        <v>60.0</v>
      </c>
      <c r="H46" s="23">
        <v>30.0</v>
      </c>
      <c r="I46" s="23">
        <v>30.0</v>
      </c>
      <c r="J46" s="23">
        <v>35.0</v>
      </c>
      <c r="K46" s="23">
        <v>20.0</v>
      </c>
      <c r="L46" s="20">
        <f t="shared" si="1"/>
        <v>315</v>
      </c>
      <c r="M46" s="20"/>
      <c r="N46" s="20"/>
      <c r="O46" s="20">
        <f t="shared" si="2"/>
        <v>35</v>
      </c>
    </row>
    <row r="47">
      <c r="A47" s="19" t="s">
        <v>121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>
        <f t="shared" si="1"/>
        <v>0</v>
      </c>
      <c r="M47" s="20"/>
      <c r="N47" s="20"/>
      <c r="O47" s="20" t="str">
        <f t="shared" si="2"/>
        <v>#DIV/0!</v>
      </c>
    </row>
    <row r="48">
      <c r="A48" s="19" t="s">
        <v>122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>
        <f t="shared" si="1"/>
        <v>0</v>
      </c>
      <c r="M48" s="20"/>
      <c r="N48" s="20"/>
      <c r="O48" s="20" t="str">
        <f t="shared" si="2"/>
        <v>#DIV/0!</v>
      </c>
    </row>
  </sheetData>
  <drawing r:id="rId1"/>
</worksheet>
</file>